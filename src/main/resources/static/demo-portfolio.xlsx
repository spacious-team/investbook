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tek\Desktop\"/>
    </mc:Choice>
  </mc:AlternateContent>
  <bookViews>
    <workbookView xWindow="0" yWindow="0" windowWidth="28800" windowHeight="13725"/>
  </bookViews>
  <sheets>
    <sheet name="demo" sheetId="1" r:id="rId1"/>
    <sheet name="Список допустимых событий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5" i="1" l="1"/>
  <c r="F16" i="1"/>
  <c r="F21" i="1" l="1"/>
  <c r="F24" i="1" s="1"/>
  <c r="F28" i="1" s="1"/>
  <c r="F63" i="1"/>
  <c r="F22" i="1"/>
  <c r="F25" i="1" s="1"/>
  <c r="F29" i="1" s="1"/>
  <c r="F32" i="1" s="1"/>
  <c r="F35" i="1" s="1"/>
  <c r="F12" i="1"/>
  <c r="F14" i="1" s="1"/>
  <c r="F39" i="1" l="1"/>
  <c r="F13" i="1"/>
  <c r="F31" i="1"/>
  <c r="F42" i="1" l="1"/>
  <c r="F34" i="1"/>
  <c r="F38" i="1" s="1"/>
  <c r="F41" i="1" s="1"/>
  <c r="F44" i="1" s="1"/>
  <c r="F48" i="1" s="1"/>
  <c r="F54" i="1" s="1"/>
  <c r="F58" i="1" s="1"/>
  <c r="F45" i="1" l="1"/>
  <c r="F49" i="1" s="1"/>
  <c r="F62" i="1"/>
  <c r="F55" i="1" l="1"/>
  <c r="F60" i="1" s="1"/>
  <c r="F64" i="1" s="1"/>
  <c r="F66" i="1"/>
  <c r="F70" i="1" s="1"/>
  <c r="F75" i="1" s="1"/>
  <c r="F67" i="1" l="1"/>
  <c r="F71" i="1" s="1"/>
  <c r="F80" i="1"/>
  <c r="F84" i="1" s="1"/>
  <c r="F95" i="1" s="1"/>
  <c r="F101" i="1" s="1"/>
  <c r="F105" i="1" s="1"/>
  <c r="F108" i="1" s="1"/>
  <c r="F111" i="1" s="1"/>
  <c r="F115" i="1" s="1"/>
  <c r="F118" i="1" s="1"/>
  <c r="F122" i="1" s="1"/>
  <c r="F127" i="1" s="1"/>
  <c r="F76" i="1" l="1"/>
  <c r="F81" i="1" s="1"/>
  <c r="F85" i="1" s="1"/>
  <c r="F96" i="1" s="1"/>
  <c r="F102" i="1" s="1"/>
  <c r="F106" i="1" s="1"/>
  <c r="F109" i="1" s="1"/>
  <c r="F112" i="1" s="1"/>
  <c r="F116" i="1" s="1"/>
  <c r="F119" i="1" s="1"/>
  <c r="F129" i="1" l="1"/>
  <c r="F123" i="1"/>
</calcChain>
</file>

<file path=xl/comments1.xml><?xml version="1.0" encoding="utf-8"?>
<comments xmlns="http://schemas.openxmlformats.org/spreadsheetml/2006/main">
  <authors>
    <author>Vitek</author>
  </authors>
  <commentList>
    <comment ref="G1" authorId="0" shapeId="0">
      <text>
        <r>
          <rPr>
            <b/>
            <sz val="9"/>
            <color indexed="81"/>
            <rFont val="Tahoma"/>
            <charset val="1"/>
          </rPr>
          <t>Vitek:</t>
        </r>
        <r>
          <rPr>
            <sz val="9"/>
            <color indexed="81"/>
            <rFont val="Tahoma"/>
            <charset val="1"/>
          </rPr>
          <t xml:space="preserve">
Обязательно для облигаций, даже если равен 0</t>
        </r>
      </text>
    </comment>
  </commentList>
</comments>
</file>

<file path=xl/sharedStrings.xml><?xml version="1.0" encoding="utf-8"?>
<sst xmlns="http://schemas.openxmlformats.org/spreadsheetml/2006/main" count="494" uniqueCount="50">
  <si>
    <t>Ввод денежных средств</t>
  </si>
  <si>
    <t>Покупка</t>
  </si>
  <si>
    <t>Продажа</t>
  </si>
  <si>
    <t>Дивиденд</t>
  </si>
  <si>
    <t>Купон</t>
  </si>
  <si>
    <t>Налог</t>
  </si>
  <si>
    <t>Зачисление ЦБ</t>
  </si>
  <si>
    <t>Списание ЦБ</t>
  </si>
  <si>
    <t>Вариационная маржа</t>
  </si>
  <si>
    <t>RUB</t>
  </si>
  <si>
    <t>Вывод денежных средств</t>
  </si>
  <si>
    <t>SBER</t>
  </si>
  <si>
    <t>BR-3.22</t>
  </si>
  <si>
    <t>Валюта комиссии / налога</t>
  </si>
  <si>
    <t>Si-9.21M160921PA77000</t>
  </si>
  <si>
    <t>ОФЗ 24021</t>
  </si>
  <si>
    <t>Амортизация</t>
  </si>
  <si>
    <t>Мордовия 34003</t>
  </si>
  <si>
    <t>Налоговый вычет</t>
  </si>
  <si>
    <t>Погашение облигаций</t>
  </si>
  <si>
    <t>Удмуртия 37004</t>
  </si>
  <si>
    <t>Оценка стоимости активов</t>
  </si>
  <si>
    <t>Остаток денежных средств</t>
  </si>
  <si>
    <t>Возврат комиссии</t>
  </si>
  <si>
    <t>Комиссия</t>
  </si>
  <si>
    <t>Возврат налога на банковский счет</t>
  </si>
  <si>
    <t>Дата (время) исполнения</t>
  </si>
  <si>
    <t>Тикер / Наименование</t>
  </si>
  <si>
    <t>Событие</t>
  </si>
  <si>
    <t>Счет</t>
  </si>
  <si>
    <t>Количество, шт (не в лотах)</t>
  </si>
  <si>
    <t>Валюта (цены / выплаты / стоимости контракта)</t>
  </si>
  <si>
    <t>Стоимость одного срочного контракта в валюте на момент сделки (опционально)</t>
  </si>
  <si>
    <t>НКД одной облигации на момент сделки</t>
  </si>
  <si>
    <t>USDRUB_TOM</t>
  </si>
  <si>
    <t>Цена одной ЦБ /
Котировка контракта /
Выплата (на одну ЦБ до налога) /
Вариационная маржа (на все контракты) /
Цена единицы товара /
Перевод или остаток денежных средств</t>
  </si>
  <si>
    <t>Комиссия / Налог
(на событие, на все бумаги)</t>
  </si>
  <si>
    <t>demo</t>
  </si>
  <si>
    <t>USD</t>
  </si>
  <si>
    <t>demo-gold</t>
  </si>
  <si>
    <t>Георгий победоносец, 50</t>
  </si>
  <si>
    <t>demo-us</t>
  </si>
  <si>
    <t>LKOH</t>
  </si>
  <si>
    <t>TATN</t>
  </si>
  <si>
    <t>PHOR</t>
  </si>
  <si>
    <t>USDRUB_TOD</t>
  </si>
  <si>
    <t>TSLA</t>
  </si>
  <si>
    <t>AMZN</t>
  </si>
  <si>
    <t>AMD</t>
  </si>
  <si>
    <t>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</si>
</sst>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:mm:ss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49" fontId="0" fillId="0" borderId="0" xfId="0" applyNumberFormat="1" applyFill="1"/>
    <xf numFmtId="49" fontId="1" fillId="0" borderId="0" xfId="0" applyNumberFormat="1" applyFont="1" applyFill="1" applyAlignment="1">
      <alignment horizontal="center" vertical="center" wrapText="1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35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ColWidth="15.28515625" defaultRowHeight="15" x14ac:dyDescent="0.25"/>
  <cols>
    <col min="1" max="1" width="33.140625" style="11" customWidth="1"/>
    <col min="2" max="2" width="16.140625" style="6" customWidth="1"/>
    <col min="3" max="3" width="19.85546875" style="2" customWidth="1"/>
    <col min="4" max="4" width="23.85546875" style="7" customWidth="1"/>
    <col min="5" max="5" width="15.140625" style="9" bestFit="1" customWidth="1"/>
    <col min="6" max="6" width="41.7109375" customWidth="1"/>
    <col min="7" max="7" width="18.140625" customWidth="1"/>
    <col min="8" max="8" width="29.85546875" customWidth="1"/>
    <col min="9" max="9" width="21" style="6" customWidth="1"/>
    <col min="10" max="10" width="17" style="4" customWidth="1"/>
    <col min="11" max="11" width="18" style="6" customWidth="1"/>
  </cols>
  <sheetData>
    <row r="1" spans="1:11" s="1" customFormat="1" ht="91.5" customHeight="1" x14ac:dyDescent="0.25">
      <c r="A1" s="12" t="s">
        <v>28</v>
      </c>
      <c r="B1" s="5" t="s">
        <v>29</v>
      </c>
      <c r="C1" s="10" t="s">
        <v>26</v>
      </c>
      <c r="D1" s="5" t="s">
        <v>27</v>
      </c>
      <c r="E1" s="8" t="s">
        <v>30</v>
      </c>
      <c r="F1" s="1" t="s">
        <v>35</v>
      </c>
      <c r="G1" s="1" t="s">
        <v>33</v>
      </c>
      <c r="H1" s="1" t="s">
        <v>32</v>
      </c>
      <c r="I1" s="5" t="s">
        <v>31</v>
      </c>
      <c r="J1" s="3" t="s">
        <v>36</v>
      </c>
      <c r="K1" s="5" t="s">
        <v>13</v>
      </c>
    </row>
    <row r="2" spans="1:11" x14ac:dyDescent="0.25">
      <c r="A2" s="11" t="s">
        <v>0</v>
      </c>
      <c r="B2" s="6" t="s">
        <v>37</v>
      </c>
      <c r="C2" s="2">
        <v>43843.416666666664</v>
      </c>
      <c r="F2">
        <v>10000</v>
      </c>
      <c r="I2" s="6" t="s">
        <v>9</v>
      </c>
    </row>
    <row r="3" spans="1:11" x14ac:dyDescent="0.25">
      <c r="A3" s="11" t="s">
        <v>22</v>
      </c>
      <c r="B3" s="6" t="s">
        <v>37</v>
      </c>
      <c r="C3" s="2">
        <v>43843.791666666664</v>
      </c>
      <c r="F3">
        <v>10000</v>
      </c>
      <c r="I3" s="6" t="s">
        <v>9</v>
      </c>
    </row>
    <row r="4" spans="1:11" x14ac:dyDescent="0.25">
      <c r="A4" s="11" t="s">
        <v>22</v>
      </c>
      <c r="B4" s="6" t="s">
        <v>41</v>
      </c>
      <c r="C4" s="2">
        <v>43843.791666666664</v>
      </c>
      <c r="F4">
        <v>0</v>
      </c>
      <c r="I4" s="6" t="s">
        <v>38</v>
      </c>
    </row>
    <row r="5" spans="1:11" x14ac:dyDescent="0.25">
      <c r="A5" s="11" t="s">
        <v>22</v>
      </c>
      <c r="B5" s="6" t="s">
        <v>39</v>
      </c>
      <c r="C5" s="2">
        <v>43843.791666666664</v>
      </c>
      <c r="F5">
        <v>0</v>
      </c>
      <c r="I5" s="6" t="s">
        <v>9</v>
      </c>
    </row>
    <row r="6" spans="1:11" x14ac:dyDescent="0.25">
      <c r="A6" s="11" t="s">
        <v>21</v>
      </c>
      <c r="B6" s="6" t="s">
        <v>37</v>
      </c>
      <c r="C6" s="2">
        <v>43843.791666666664</v>
      </c>
      <c r="F6">
        <v>10000</v>
      </c>
      <c r="I6" s="6" t="s">
        <v>9</v>
      </c>
    </row>
    <row r="7" spans="1:11" x14ac:dyDescent="0.25">
      <c r="A7" s="11" t="s">
        <v>10</v>
      </c>
      <c r="B7" s="6" t="s">
        <v>37</v>
      </c>
      <c r="C7" s="2">
        <v>43844.458333333336</v>
      </c>
      <c r="F7">
        <v>100</v>
      </c>
      <c r="I7" s="6" t="s">
        <v>9</v>
      </c>
    </row>
    <row r="8" spans="1:11" x14ac:dyDescent="0.25">
      <c r="A8" s="11" t="s">
        <v>22</v>
      </c>
      <c r="B8" s="6" t="s">
        <v>37</v>
      </c>
      <c r="C8" s="2">
        <v>43844.791666666664</v>
      </c>
      <c r="F8">
        <v>9900</v>
      </c>
      <c r="I8" s="6" t="s">
        <v>9</v>
      </c>
    </row>
    <row r="9" spans="1:11" x14ac:dyDescent="0.25">
      <c r="A9" s="11" t="s">
        <v>21</v>
      </c>
      <c r="B9" s="6" t="s">
        <v>37</v>
      </c>
      <c r="C9" s="2">
        <v>43844.791666666664</v>
      </c>
      <c r="F9">
        <v>9900</v>
      </c>
      <c r="I9" s="6" t="s">
        <v>9</v>
      </c>
    </row>
    <row r="10" spans="1:11" x14ac:dyDescent="0.25">
      <c r="A10" s="11" t="s">
        <v>0</v>
      </c>
      <c r="B10" s="6" t="s">
        <v>41</v>
      </c>
      <c r="C10" s="2">
        <v>44044.416666666664</v>
      </c>
      <c r="F10">
        <v>2000</v>
      </c>
      <c r="I10" s="6" t="s">
        <v>38</v>
      </c>
    </row>
    <row r="11" spans="1:11" x14ac:dyDescent="0.25">
      <c r="A11" s="11" t="s">
        <v>1</v>
      </c>
      <c r="B11" s="6" t="s">
        <v>41</v>
      </c>
      <c r="C11" s="2">
        <v>44044.458333333336</v>
      </c>
      <c r="D11" s="7" t="s">
        <v>46</v>
      </c>
      <c r="E11" s="9">
        <v>1</v>
      </c>
      <c r="F11">
        <v>1430</v>
      </c>
      <c r="I11" s="6" t="s">
        <v>38</v>
      </c>
      <c r="J11" s="4">
        <v>4.3</v>
      </c>
      <c r="K11" s="6" t="s">
        <v>38</v>
      </c>
    </row>
    <row r="12" spans="1:11" x14ac:dyDescent="0.25">
      <c r="A12" s="11" t="s">
        <v>22</v>
      </c>
      <c r="B12" s="6" t="s">
        <v>41</v>
      </c>
      <c r="C12" s="2">
        <v>44044.791666666664</v>
      </c>
      <c r="F12">
        <f>F10-E11*F11-J11</f>
        <v>565.70000000000005</v>
      </c>
      <c r="I12" s="6" t="s">
        <v>38</v>
      </c>
    </row>
    <row r="13" spans="1:11" x14ac:dyDescent="0.25">
      <c r="A13" s="11" t="s">
        <v>21</v>
      </c>
      <c r="B13" s="6" t="s">
        <v>41</v>
      </c>
      <c r="C13" s="2">
        <v>44044.791666666664</v>
      </c>
      <c r="F13">
        <f>F11+F12</f>
        <v>1995.7</v>
      </c>
      <c r="I13" s="6" t="s">
        <v>38</v>
      </c>
    </row>
    <row r="14" spans="1:11" x14ac:dyDescent="0.25">
      <c r="A14" s="11" t="s">
        <v>10</v>
      </c>
      <c r="B14" s="6" t="s">
        <v>41</v>
      </c>
      <c r="C14" s="2">
        <v>44045.416666666664</v>
      </c>
      <c r="F14">
        <f>F12</f>
        <v>565.70000000000005</v>
      </c>
      <c r="I14" s="6" t="s">
        <v>38</v>
      </c>
    </row>
    <row r="15" spans="1:11" x14ac:dyDescent="0.25">
      <c r="A15" s="11" t="s">
        <v>22</v>
      </c>
      <c r="B15" s="6" t="s">
        <v>41</v>
      </c>
      <c r="C15" s="2">
        <v>44045.791666666664</v>
      </c>
      <c r="F15">
        <v>0</v>
      </c>
      <c r="I15" s="6" t="s">
        <v>38</v>
      </c>
    </row>
    <row r="16" spans="1:11" x14ac:dyDescent="0.25">
      <c r="A16" s="11" t="s">
        <v>21</v>
      </c>
      <c r="B16" s="6" t="s">
        <v>41</v>
      </c>
      <c r="C16" s="2">
        <v>44045.791666666664</v>
      </c>
      <c r="F16">
        <f>E11*F11-J11</f>
        <v>1425.7</v>
      </c>
      <c r="I16" s="6" t="s">
        <v>38</v>
      </c>
    </row>
    <row r="17" spans="1:11" x14ac:dyDescent="0.25">
      <c r="A17" s="11" t="s">
        <v>7</v>
      </c>
      <c r="B17" s="6" t="s">
        <v>41</v>
      </c>
      <c r="C17" s="2">
        <v>44074.416666666664</v>
      </c>
      <c r="D17" s="7" t="s">
        <v>46</v>
      </c>
      <c r="E17" s="9">
        <v>1</v>
      </c>
    </row>
    <row r="18" spans="1:11" x14ac:dyDescent="0.25">
      <c r="A18" s="11" t="s">
        <v>6</v>
      </c>
      <c r="B18" s="6" t="s">
        <v>41</v>
      </c>
      <c r="C18" s="2">
        <v>44074.416666666664</v>
      </c>
      <c r="D18" s="7" t="s">
        <v>46</v>
      </c>
      <c r="E18" s="9">
        <v>5</v>
      </c>
    </row>
    <row r="19" spans="1:11" x14ac:dyDescent="0.25">
      <c r="A19" s="11" t="s">
        <v>21</v>
      </c>
      <c r="B19" s="6" t="s">
        <v>41</v>
      </c>
      <c r="C19" s="2">
        <v>44074.791666666664</v>
      </c>
      <c r="F19">
        <v>2100</v>
      </c>
      <c r="I19" s="6" t="s">
        <v>38</v>
      </c>
    </row>
    <row r="20" spans="1:11" x14ac:dyDescent="0.25">
      <c r="A20" s="11" t="s">
        <v>1</v>
      </c>
      <c r="B20" s="6" t="s">
        <v>37</v>
      </c>
      <c r="C20" s="2">
        <v>44075.4375</v>
      </c>
      <c r="D20" s="7" t="s">
        <v>17</v>
      </c>
      <c r="E20" s="9">
        <v>2</v>
      </c>
      <c r="F20">
        <v>969</v>
      </c>
      <c r="G20">
        <v>18.62</v>
      </c>
      <c r="I20" s="6" t="s">
        <v>9</v>
      </c>
      <c r="J20" s="4">
        <v>2.4</v>
      </c>
      <c r="K20" s="6" t="s">
        <v>9</v>
      </c>
    </row>
    <row r="21" spans="1:11" x14ac:dyDescent="0.25">
      <c r="A21" s="11" t="s">
        <v>22</v>
      </c>
      <c r="B21" s="6" t="s">
        <v>37</v>
      </c>
      <c r="C21" s="2">
        <v>44075.791666666664</v>
      </c>
      <c r="F21">
        <f>F8-E20*(F20+G20)-J20</f>
        <v>7922.3600000000006</v>
      </c>
      <c r="I21" s="6" t="s">
        <v>9</v>
      </c>
    </row>
    <row r="22" spans="1:11" x14ac:dyDescent="0.25">
      <c r="A22" s="11" t="s">
        <v>21</v>
      </c>
      <c r="B22" s="6" t="s">
        <v>37</v>
      </c>
      <c r="C22" s="2">
        <v>44075.791666666664</v>
      </c>
      <c r="F22">
        <f>F9-J20</f>
        <v>9897.6</v>
      </c>
      <c r="I22" s="6" t="s">
        <v>9</v>
      </c>
    </row>
    <row r="23" spans="1:11" x14ac:dyDescent="0.25">
      <c r="A23" s="11" t="s">
        <v>1</v>
      </c>
      <c r="B23" s="6" t="s">
        <v>37</v>
      </c>
      <c r="C23" s="2">
        <v>44076.4375</v>
      </c>
      <c r="D23" s="7" t="s">
        <v>20</v>
      </c>
      <c r="E23" s="9">
        <v>2</v>
      </c>
      <c r="F23">
        <v>690</v>
      </c>
      <c r="G23">
        <v>1.1000000000000001</v>
      </c>
      <c r="I23" s="6" t="s">
        <v>9</v>
      </c>
      <c r="J23" s="4">
        <v>1.5</v>
      </c>
      <c r="K23" s="6" t="s">
        <v>9</v>
      </c>
    </row>
    <row r="24" spans="1:11" x14ac:dyDescent="0.25">
      <c r="A24" s="11" t="s">
        <v>22</v>
      </c>
      <c r="B24" s="6" t="s">
        <v>37</v>
      </c>
      <c r="C24" s="2">
        <v>44076.791666666664</v>
      </c>
      <c r="F24">
        <f>F21-E23*(F23+G23)-J23</f>
        <v>6538.6600000000008</v>
      </c>
      <c r="I24" s="6" t="s">
        <v>9</v>
      </c>
    </row>
    <row r="25" spans="1:11" x14ac:dyDescent="0.25">
      <c r="A25" s="11" t="s">
        <v>21</v>
      </c>
      <c r="B25" s="6" t="s">
        <v>37</v>
      </c>
      <c r="C25" s="2">
        <v>44076.791666666664</v>
      </c>
      <c r="F25">
        <f>F22-J23</f>
        <v>9896.1</v>
      </c>
      <c r="I25" s="6" t="s">
        <v>9</v>
      </c>
    </row>
    <row r="26" spans="1:11" x14ac:dyDescent="0.25">
      <c r="A26" s="11" t="s">
        <v>4</v>
      </c>
      <c r="B26" s="6" t="s">
        <v>37</v>
      </c>
      <c r="C26" s="2">
        <v>44081.416666666664</v>
      </c>
      <c r="D26" s="7" t="s">
        <v>17</v>
      </c>
      <c r="E26" s="9">
        <v>2</v>
      </c>
      <c r="F26">
        <v>20.420000000000002</v>
      </c>
      <c r="I26" s="6" t="s">
        <v>9</v>
      </c>
    </row>
    <row r="27" spans="1:11" x14ac:dyDescent="0.25">
      <c r="A27" s="11" t="s">
        <v>16</v>
      </c>
      <c r="B27" s="6" t="s">
        <v>37</v>
      </c>
      <c r="C27" s="2">
        <v>44081.416666666664</v>
      </c>
      <c r="D27" s="7" t="s">
        <v>17</v>
      </c>
      <c r="E27" s="9">
        <v>2</v>
      </c>
      <c r="F27">
        <v>300</v>
      </c>
      <c r="I27" s="6" t="s">
        <v>9</v>
      </c>
    </row>
    <row r="28" spans="1:11" x14ac:dyDescent="0.25">
      <c r="A28" s="11" t="s">
        <v>22</v>
      </c>
      <c r="B28" s="6" t="s">
        <v>37</v>
      </c>
      <c r="C28" s="2">
        <v>44081.791666666664</v>
      </c>
      <c r="F28">
        <f>F24+E26*F26+E27*F27</f>
        <v>7179.5000000000009</v>
      </c>
      <c r="I28" s="6" t="s">
        <v>9</v>
      </c>
    </row>
    <row r="29" spans="1:11" x14ac:dyDescent="0.25">
      <c r="A29" s="11" t="s">
        <v>21</v>
      </c>
      <c r="B29" s="6" t="s">
        <v>37</v>
      </c>
      <c r="C29" s="2">
        <v>44081.791666666664</v>
      </c>
      <c r="F29">
        <f>F25+E26*F26</f>
        <v>9936.94</v>
      </c>
      <c r="I29" s="6" t="s">
        <v>9</v>
      </c>
    </row>
    <row r="30" spans="1:11" x14ac:dyDescent="0.25">
      <c r="A30" s="11" t="s">
        <v>19</v>
      </c>
      <c r="B30" s="6" t="s">
        <v>37</v>
      </c>
      <c r="C30" s="2">
        <v>44095.416666666664</v>
      </c>
      <c r="D30" s="7" t="s">
        <v>20</v>
      </c>
      <c r="E30" s="9">
        <v>2</v>
      </c>
      <c r="F30">
        <v>700</v>
      </c>
      <c r="I30" s="6" t="s">
        <v>9</v>
      </c>
    </row>
    <row r="31" spans="1:11" x14ac:dyDescent="0.25">
      <c r="A31" s="11" t="s">
        <v>22</v>
      </c>
      <c r="B31" s="6" t="s">
        <v>37</v>
      </c>
      <c r="C31" s="2">
        <v>44095.791666666664</v>
      </c>
      <c r="F31">
        <f>F28+E30*F30</f>
        <v>8579.5</v>
      </c>
      <c r="I31" s="6" t="s">
        <v>9</v>
      </c>
    </row>
    <row r="32" spans="1:11" x14ac:dyDescent="0.25">
      <c r="A32" s="11" t="s">
        <v>21</v>
      </c>
      <c r="B32" s="6" t="s">
        <v>37</v>
      </c>
      <c r="C32" s="2">
        <v>44095.791666666664</v>
      </c>
      <c r="F32">
        <f>F29+E30*(F30-F23-G23)</f>
        <v>9954.74</v>
      </c>
      <c r="I32" s="6" t="s">
        <v>9</v>
      </c>
    </row>
    <row r="33" spans="1:11" x14ac:dyDescent="0.25">
      <c r="A33" s="11" t="s">
        <v>2</v>
      </c>
      <c r="B33" s="6" t="s">
        <v>37</v>
      </c>
      <c r="C33" s="2">
        <v>44169.5</v>
      </c>
      <c r="D33" s="7" t="s">
        <v>17</v>
      </c>
      <c r="E33" s="9">
        <v>2</v>
      </c>
      <c r="F33">
        <v>680</v>
      </c>
      <c r="G33">
        <v>11.67</v>
      </c>
      <c r="I33" s="6" t="s">
        <v>9</v>
      </c>
      <c r="J33" s="4">
        <v>0.6</v>
      </c>
      <c r="K33" s="6" t="s">
        <v>9</v>
      </c>
    </row>
    <row r="34" spans="1:11" x14ac:dyDescent="0.25">
      <c r="A34" s="11" t="s">
        <v>22</v>
      </c>
      <c r="B34" s="6" t="s">
        <v>37</v>
      </c>
      <c r="C34" s="2">
        <v>44169.791666666664</v>
      </c>
      <c r="F34">
        <f>F31+E33*(F33+G33)-J33</f>
        <v>9962.24</v>
      </c>
      <c r="I34" s="6" t="s">
        <v>9</v>
      </c>
    </row>
    <row r="35" spans="1:11" x14ac:dyDescent="0.25">
      <c r="A35" s="11" t="s">
        <v>21</v>
      </c>
      <c r="B35" s="6" t="s">
        <v>37</v>
      </c>
      <c r="C35" s="2">
        <v>44169.791666666664</v>
      </c>
      <c r="F35">
        <f>F32-J33+E33*(F33+G33+F27-F20-G20)</f>
        <v>9962.24</v>
      </c>
      <c r="I35" s="6" t="s">
        <v>9</v>
      </c>
    </row>
    <row r="36" spans="1:11" x14ac:dyDescent="0.25">
      <c r="A36" s="11" t="s">
        <v>21</v>
      </c>
      <c r="B36" s="6" t="s">
        <v>41</v>
      </c>
      <c r="C36" s="2">
        <v>44196.791666666664</v>
      </c>
      <c r="F36">
        <v>3525</v>
      </c>
      <c r="I36" s="6" t="s">
        <v>38</v>
      </c>
    </row>
    <row r="37" spans="1:11" x14ac:dyDescent="0.25">
      <c r="A37" s="11" t="s">
        <v>1</v>
      </c>
      <c r="B37" s="6" t="s">
        <v>37</v>
      </c>
      <c r="C37" s="2">
        <v>44208.430567129632</v>
      </c>
      <c r="D37" s="7" t="s">
        <v>15</v>
      </c>
      <c r="E37" s="9">
        <v>2</v>
      </c>
      <c r="F37">
        <v>950</v>
      </c>
      <c r="G37">
        <v>8.5</v>
      </c>
      <c r="I37" s="6" t="s">
        <v>9</v>
      </c>
      <c r="J37" s="4">
        <v>0.6</v>
      </c>
      <c r="K37" s="6" t="s">
        <v>9</v>
      </c>
    </row>
    <row r="38" spans="1:11" x14ac:dyDescent="0.25">
      <c r="A38" s="11" t="s">
        <v>22</v>
      </c>
      <c r="B38" s="6" t="s">
        <v>37</v>
      </c>
      <c r="C38" s="2">
        <v>44208.791666666664</v>
      </c>
      <c r="F38">
        <f>F34-E37*(F37+G37)-J37</f>
        <v>8044.6399999999994</v>
      </c>
      <c r="I38" s="6" t="s">
        <v>9</v>
      </c>
    </row>
    <row r="39" spans="1:11" x14ac:dyDescent="0.25">
      <c r="A39" s="11" t="s">
        <v>21</v>
      </c>
      <c r="B39" s="6" t="s">
        <v>37</v>
      </c>
      <c r="C39" s="2">
        <v>44208.791666666664</v>
      </c>
      <c r="F39">
        <f>F35-J37</f>
        <v>9961.64</v>
      </c>
      <c r="I39" s="6" t="s">
        <v>9</v>
      </c>
    </row>
    <row r="40" spans="1:11" x14ac:dyDescent="0.25">
      <c r="A40" s="11" t="s">
        <v>1</v>
      </c>
      <c r="B40" s="6" t="s">
        <v>37</v>
      </c>
      <c r="C40" s="2">
        <v>44209.427083333336</v>
      </c>
      <c r="D40" s="7" t="s">
        <v>11</v>
      </c>
      <c r="E40" s="9">
        <v>10</v>
      </c>
      <c r="F40">
        <v>280</v>
      </c>
      <c r="I40" s="6" t="s">
        <v>9</v>
      </c>
      <c r="J40" s="4">
        <v>1.5</v>
      </c>
      <c r="K40" s="6" t="s">
        <v>9</v>
      </c>
    </row>
    <row r="41" spans="1:11" x14ac:dyDescent="0.25">
      <c r="A41" s="11" t="s">
        <v>22</v>
      </c>
      <c r="B41" s="6" t="s">
        <v>37</v>
      </c>
      <c r="C41" s="2">
        <v>44209.791666666664</v>
      </c>
      <c r="F41">
        <f>F38-E40*F40-J40</f>
        <v>5243.1399999999994</v>
      </c>
      <c r="I41" s="6" t="s">
        <v>9</v>
      </c>
    </row>
    <row r="42" spans="1:11" x14ac:dyDescent="0.25">
      <c r="A42" s="11" t="s">
        <v>21</v>
      </c>
      <c r="B42" s="6" t="s">
        <v>37</v>
      </c>
      <c r="C42" s="2">
        <v>44209.791666666664</v>
      </c>
      <c r="F42">
        <f>F39-J40</f>
        <v>9960.14</v>
      </c>
      <c r="I42" s="6" t="s">
        <v>9</v>
      </c>
    </row>
    <row r="43" spans="1:11" x14ac:dyDescent="0.25">
      <c r="A43" s="11" t="s">
        <v>24</v>
      </c>
      <c r="B43" s="6" t="s">
        <v>37</v>
      </c>
      <c r="C43" s="2">
        <v>44211.5</v>
      </c>
      <c r="J43" s="4">
        <v>50</v>
      </c>
      <c r="K43" s="6" t="s">
        <v>9</v>
      </c>
    </row>
    <row r="44" spans="1:11" x14ac:dyDescent="0.25">
      <c r="A44" s="11" t="s">
        <v>22</v>
      </c>
      <c r="B44" s="6" t="s">
        <v>37</v>
      </c>
      <c r="C44" s="2">
        <v>44211.791666666664</v>
      </c>
      <c r="F44">
        <f>F41-J43</f>
        <v>5193.1399999999994</v>
      </c>
      <c r="I44" s="6" t="s">
        <v>9</v>
      </c>
    </row>
    <row r="45" spans="1:11" x14ac:dyDescent="0.25">
      <c r="A45" s="11" t="s">
        <v>21</v>
      </c>
      <c r="B45" s="6" t="s">
        <v>37</v>
      </c>
      <c r="C45" s="2">
        <v>44211.791666666664</v>
      </c>
      <c r="F45">
        <f>F42-J43</f>
        <v>9910.14</v>
      </c>
      <c r="I45" s="6" t="s">
        <v>9</v>
      </c>
    </row>
    <row r="46" spans="1:11" x14ac:dyDescent="0.25">
      <c r="A46" s="11" t="s">
        <v>5</v>
      </c>
      <c r="B46" s="6" t="s">
        <v>37</v>
      </c>
      <c r="C46" s="2">
        <v>44212.5</v>
      </c>
      <c r="J46" s="4">
        <v>130</v>
      </c>
      <c r="K46" s="6" t="s">
        <v>9</v>
      </c>
    </row>
    <row r="47" spans="1:11" x14ac:dyDescent="0.25">
      <c r="A47" s="11" t="s">
        <v>23</v>
      </c>
      <c r="B47" s="6" t="s">
        <v>37</v>
      </c>
      <c r="C47" s="2">
        <v>44212.5</v>
      </c>
      <c r="J47" s="4">
        <v>100</v>
      </c>
      <c r="K47" s="6" t="s">
        <v>9</v>
      </c>
    </row>
    <row r="48" spans="1:11" x14ac:dyDescent="0.25">
      <c r="A48" s="11" t="s">
        <v>22</v>
      </c>
      <c r="B48" s="6" t="s">
        <v>37</v>
      </c>
      <c r="C48" s="2">
        <v>44212.791666666664</v>
      </c>
      <c r="F48">
        <f>F44-J46+J47</f>
        <v>5163.1399999999994</v>
      </c>
      <c r="I48" s="6" t="s">
        <v>9</v>
      </c>
    </row>
    <row r="49" spans="1:11" x14ac:dyDescent="0.25">
      <c r="A49" s="11" t="s">
        <v>21</v>
      </c>
      <c r="B49" s="6" t="s">
        <v>37</v>
      </c>
      <c r="C49" s="2">
        <v>44212.791666666664</v>
      </c>
      <c r="F49">
        <f>F45-J46+J47</f>
        <v>9880.14</v>
      </c>
      <c r="I49" s="6" t="s">
        <v>9</v>
      </c>
    </row>
    <row r="50" spans="1:11" x14ac:dyDescent="0.25">
      <c r="A50" s="11" t="s">
        <v>0</v>
      </c>
      <c r="B50" s="6" t="s">
        <v>37</v>
      </c>
      <c r="C50" s="2">
        <v>44309.416666666664</v>
      </c>
      <c r="F50">
        <v>150000</v>
      </c>
      <c r="I50" s="6" t="s">
        <v>9</v>
      </c>
    </row>
    <row r="51" spans="1:11" x14ac:dyDescent="0.25">
      <c r="A51" s="11" t="s">
        <v>1</v>
      </c>
      <c r="B51" s="6" t="s">
        <v>37</v>
      </c>
      <c r="C51" s="2">
        <v>44309.583333333336</v>
      </c>
      <c r="D51" s="7" t="s">
        <v>14</v>
      </c>
      <c r="E51" s="9">
        <v>2</v>
      </c>
      <c r="F51">
        <v>2600</v>
      </c>
      <c r="H51">
        <v>2600</v>
      </c>
      <c r="I51" s="6" t="s">
        <v>9</v>
      </c>
      <c r="J51" s="4">
        <v>2.95</v>
      </c>
      <c r="K51" s="6" t="s">
        <v>9</v>
      </c>
    </row>
    <row r="52" spans="1:11" x14ac:dyDescent="0.25">
      <c r="A52" s="11" t="s">
        <v>1</v>
      </c>
      <c r="B52" s="6" t="s">
        <v>37</v>
      </c>
      <c r="C52" s="2">
        <v>44309.583333333336</v>
      </c>
      <c r="D52" s="7" t="s">
        <v>34</v>
      </c>
      <c r="E52" s="9">
        <v>2000</v>
      </c>
      <c r="F52">
        <v>70</v>
      </c>
      <c r="I52" s="6" t="s">
        <v>9</v>
      </c>
      <c r="J52" s="4">
        <v>42</v>
      </c>
      <c r="K52" s="6" t="s">
        <v>9</v>
      </c>
    </row>
    <row r="53" spans="1:11" x14ac:dyDescent="0.25">
      <c r="A53" s="11" t="s">
        <v>8</v>
      </c>
      <c r="B53" s="6" t="s">
        <v>37</v>
      </c>
      <c r="C53" s="2">
        <v>44309.791655092595</v>
      </c>
      <c r="D53" s="7" t="s">
        <v>14</v>
      </c>
      <c r="E53" s="9">
        <v>2</v>
      </c>
      <c r="F53">
        <v>50</v>
      </c>
      <c r="I53" s="6" t="s">
        <v>9</v>
      </c>
    </row>
    <row r="54" spans="1:11" x14ac:dyDescent="0.25">
      <c r="A54" s="11" t="s">
        <v>22</v>
      </c>
      <c r="B54" s="6" t="s">
        <v>37</v>
      </c>
      <c r="C54" s="2">
        <v>44309.791666666664</v>
      </c>
      <c r="F54">
        <f>F48+F50-J51-E52*F52-J52+F53</f>
        <v>15168.190000000002</v>
      </c>
      <c r="I54" s="6" t="s">
        <v>9</v>
      </c>
    </row>
    <row r="55" spans="1:11" x14ac:dyDescent="0.25">
      <c r="A55" s="11" t="s">
        <v>21</v>
      </c>
      <c r="B55" s="6" t="s">
        <v>37</v>
      </c>
      <c r="C55" s="2">
        <v>44309.791666666664</v>
      </c>
      <c r="F55">
        <f>F49+F50-J51-J52+F53+E40*(294-280)</f>
        <v>160025.19</v>
      </c>
      <c r="I55" s="6" t="s">
        <v>9</v>
      </c>
    </row>
    <row r="56" spans="1:11" x14ac:dyDescent="0.25">
      <c r="A56" s="11" t="s">
        <v>2</v>
      </c>
      <c r="B56" s="6" t="s">
        <v>37</v>
      </c>
      <c r="C56" s="2">
        <v>44310.583333333336</v>
      </c>
      <c r="D56" s="7" t="s">
        <v>14</v>
      </c>
      <c r="E56" s="9">
        <v>2</v>
      </c>
      <c r="F56">
        <v>2620</v>
      </c>
      <c r="H56">
        <v>2620</v>
      </c>
      <c r="I56" s="6" t="s">
        <v>9</v>
      </c>
      <c r="J56" s="4">
        <v>2.95</v>
      </c>
      <c r="K56" s="6" t="s">
        <v>9</v>
      </c>
    </row>
    <row r="57" spans="1:11" x14ac:dyDescent="0.25">
      <c r="A57" s="11" t="s">
        <v>8</v>
      </c>
      <c r="B57" s="6" t="s">
        <v>37</v>
      </c>
      <c r="C57" s="2">
        <v>44310.791655092595</v>
      </c>
      <c r="D57" s="7" t="s">
        <v>14</v>
      </c>
      <c r="E57" s="9">
        <v>2</v>
      </c>
      <c r="F57">
        <v>-10</v>
      </c>
      <c r="I57" s="6" t="s">
        <v>9</v>
      </c>
    </row>
    <row r="58" spans="1:11" x14ac:dyDescent="0.25">
      <c r="A58" s="11" t="s">
        <v>22</v>
      </c>
      <c r="B58" s="6" t="s">
        <v>37</v>
      </c>
      <c r="C58" s="2">
        <v>44310.791666666664</v>
      </c>
      <c r="F58">
        <f>F54-J56+F57</f>
        <v>15155.240000000002</v>
      </c>
      <c r="I58" s="6" t="s">
        <v>9</v>
      </c>
    </row>
    <row r="59" spans="1:11" x14ac:dyDescent="0.25">
      <c r="A59" s="11" t="s">
        <v>22</v>
      </c>
      <c r="B59" s="6" t="s">
        <v>37</v>
      </c>
      <c r="C59" s="2">
        <v>44310.791666666664</v>
      </c>
      <c r="F59">
        <v>2000</v>
      </c>
      <c r="I59" s="6" t="s">
        <v>38</v>
      </c>
    </row>
    <row r="60" spans="1:11" x14ac:dyDescent="0.25">
      <c r="A60" s="11" t="s">
        <v>21</v>
      </c>
      <c r="B60" s="6" t="s">
        <v>37</v>
      </c>
      <c r="C60" s="2">
        <v>44310.791666666664</v>
      </c>
      <c r="F60">
        <f>F55-J56+F57</f>
        <v>160012.24</v>
      </c>
      <c r="I60" s="6" t="s">
        <v>9</v>
      </c>
    </row>
    <row r="61" spans="1:11" x14ac:dyDescent="0.25">
      <c r="A61" s="11" t="s">
        <v>10</v>
      </c>
      <c r="B61" s="6" t="s">
        <v>37</v>
      </c>
      <c r="C61" s="2">
        <v>44311.625</v>
      </c>
      <c r="F61">
        <v>2000</v>
      </c>
      <c r="I61" s="6" t="s">
        <v>38</v>
      </c>
    </row>
    <row r="62" spans="1:11" x14ac:dyDescent="0.25">
      <c r="A62" s="11" t="s">
        <v>22</v>
      </c>
      <c r="B62" s="6" t="s">
        <v>37</v>
      </c>
      <c r="C62" s="2">
        <v>44311.791666666664</v>
      </c>
      <c r="F62">
        <f>F58</f>
        <v>15155.240000000002</v>
      </c>
      <c r="I62" s="6" t="s">
        <v>9</v>
      </c>
    </row>
    <row r="63" spans="1:11" x14ac:dyDescent="0.25">
      <c r="A63" s="11" t="s">
        <v>22</v>
      </c>
      <c r="B63" s="6" t="s">
        <v>37</v>
      </c>
      <c r="C63" s="2">
        <v>44311.791666666664</v>
      </c>
      <c r="F63">
        <f>F59-F61</f>
        <v>0</v>
      </c>
      <c r="I63" s="6" t="s">
        <v>38</v>
      </c>
    </row>
    <row r="64" spans="1:11" x14ac:dyDescent="0.25">
      <c r="A64" s="11" t="s">
        <v>21</v>
      </c>
      <c r="B64" s="6" t="s">
        <v>37</v>
      </c>
      <c r="C64" s="2">
        <v>44311.791666666664</v>
      </c>
      <c r="F64">
        <f>F60-F61*F52</f>
        <v>20012.239999999991</v>
      </c>
      <c r="I64" s="6" t="s">
        <v>9</v>
      </c>
    </row>
    <row r="65" spans="1:11" x14ac:dyDescent="0.25">
      <c r="A65" s="11" t="s">
        <v>3</v>
      </c>
      <c r="B65" s="6" t="s">
        <v>37</v>
      </c>
      <c r="C65" s="2">
        <v>44328.416666666664</v>
      </c>
      <c r="D65" s="7" t="s">
        <v>11</v>
      </c>
      <c r="E65" s="9">
        <v>10</v>
      </c>
      <c r="F65">
        <v>18.7</v>
      </c>
      <c r="I65" s="6" t="s">
        <v>9</v>
      </c>
      <c r="J65" s="4">
        <v>24</v>
      </c>
      <c r="K65" s="6" t="s">
        <v>9</v>
      </c>
    </row>
    <row r="66" spans="1:11" x14ac:dyDescent="0.25">
      <c r="A66" s="11" t="s">
        <v>22</v>
      </c>
      <c r="B66" s="6" t="s">
        <v>37</v>
      </c>
      <c r="C66" s="2">
        <v>44328.791666666664</v>
      </c>
      <c r="F66">
        <f>F58+E65*F65-J65</f>
        <v>15318.240000000002</v>
      </c>
      <c r="I66" s="6" t="s">
        <v>9</v>
      </c>
    </row>
    <row r="67" spans="1:11" x14ac:dyDescent="0.25">
      <c r="A67" s="11" t="s">
        <v>21</v>
      </c>
      <c r="B67" s="6" t="s">
        <v>37</v>
      </c>
      <c r="C67" s="2">
        <v>44328.791666666664</v>
      </c>
      <c r="F67">
        <f>F64+E65*F65-J65+E40*(303-294)</f>
        <v>20265.239999999991</v>
      </c>
      <c r="I67" s="6" t="s">
        <v>9</v>
      </c>
    </row>
    <row r="68" spans="1:11" x14ac:dyDescent="0.25">
      <c r="A68" s="11" t="s">
        <v>25</v>
      </c>
      <c r="B68" s="6" t="s">
        <v>37</v>
      </c>
      <c r="C68" s="2">
        <v>44331.416666666664</v>
      </c>
      <c r="J68" s="4">
        <v>30</v>
      </c>
      <c r="K68" s="6" t="s">
        <v>9</v>
      </c>
    </row>
    <row r="69" spans="1:11" x14ac:dyDescent="0.25">
      <c r="A69" s="11" t="s">
        <v>18</v>
      </c>
      <c r="B69" s="6" t="s">
        <v>37</v>
      </c>
      <c r="C69" s="2">
        <v>44331.5</v>
      </c>
      <c r="J69" s="4">
        <v>1287</v>
      </c>
      <c r="K69" s="6" t="s">
        <v>9</v>
      </c>
    </row>
    <row r="70" spans="1:11" x14ac:dyDescent="0.25">
      <c r="A70" s="11" t="s">
        <v>22</v>
      </c>
      <c r="B70" s="6" t="s">
        <v>37</v>
      </c>
      <c r="C70" s="2">
        <v>44331.791666666664</v>
      </c>
      <c r="F70">
        <f>F66</f>
        <v>15318.240000000002</v>
      </c>
      <c r="I70" s="6" t="s">
        <v>9</v>
      </c>
    </row>
    <row r="71" spans="1:11" x14ac:dyDescent="0.25">
      <c r="A71" s="11" t="s">
        <v>21</v>
      </c>
      <c r="B71" s="6" t="s">
        <v>37</v>
      </c>
      <c r="C71" s="2">
        <v>44331.791666666664</v>
      </c>
      <c r="F71">
        <f>F67</f>
        <v>20265.239999999991</v>
      </c>
      <c r="I71" s="6" t="s">
        <v>9</v>
      </c>
    </row>
    <row r="72" spans="1:11" x14ac:dyDescent="0.25">
      <c r="A72" s="11" t="s">
        <v>21</v>
      </c>
      <c r="B72" s="6" t="s">
        <v>41</v>
      </c>
      <c r="C72" s="2">
        <v>44348.791666666664</v>
      </c>
      <c r="F72">
        <v>3000</v>
      </c>
      <c r="I72" s="6" t="s">
        <v>38</v>
      </c>
    </row>
    <row r="73" spans="1:11" x14ac:dyDescent="0.25">
      <c r="A73" s="11" t="s">
        <v>4</v>
      </c>
      <c r="B73" s="6" t="s">
        <v>37</v>
      </c>
      <c r="C73" s="2">
        <v>44496.416666666664</v>
      </c>
      <c r="D73" s="7" t="s">
        <v>15</v>
      </c>
      <c r="E73" s="9">
        <v>2</v>
      </c>
      <c r="F73">
        <v>16.100000000000001</v>
      </c>
      <c r="I73" s="6" t="s">
        <v>9</v>
      </c>
      <c r="J73" s="4">
        <v>4</v>
      </c>
      <c r="K73" s="6" t="s">
        <v>9</v>
      </c>
    </row>
    <row r="74" spans="1:11" x14ac:dyDescent="0.25">
      <c r="A74" s="11" t="s">
        <v>2</v>
      </c>
      <c r="B74" s="6" t="s">
        <v>37</v>
      </c>
      <c r="C74" s="2">
        <v>44496.416666666664</v>
      </c>
      <c r="D74" s="7" t="s">
        <v>15</v>
      </c>
      <c r="E74" s="9">
        <v>2</v>
      </c>
      <c r="F74">
        <v>990</v>
      </c>
      <c r="G74">
        <v>0</v>
      </c>
      <c r="I74" s="6" t="s">
        <v>9</v>
      </c>
      <c r="J74" s="4">
        <v>2.1</v>
      </c>
      <c r="K74" s="6" t="s">
        <v>9</v>
      </c>
    </row>
    <row r="75" spans="1:11" x14ac:dyDescent="0.25">
      <c r="A75" s="11" t="s">
        <v>22</v>
      </c>
      <c r="B75" s="6" t="s">
        <v>37</v>
      </c>
      <c r="C75" s="2">
        <v>44496.791666666664</v>
      </c>
      <c r="F75">
        <f>F70+E73*F73-J73+E74*(F74+G74)-J74</f>
        <v>17324.340000000004</v>
      </c>
      <c r="I75" s="6" t="s">
        <v>9</v>
      </c>
    </row>
    <row r="76" spans="1:11" x14ac:dyDescent="0.25">
      <c r="A76" s="11" t="s">
        <v>21</v>
      </c>
      <c r="B76" s="6" t="s">
        <v>37</v>
      </c>
      <c r="C76" s="2">
        <v>44496.791666666664</v>
      </c>
      <c r="F76">
        <f>F71+E73*F73-J73+E74*(F74+G74-F37-G37)-J74+E40*(356-303)</f>
        <v>20884.339999999993</v>
      </c>
      <c r="I76" s="6" t="s">
        <v>9</v>
      </c>
    </row>
    <row r="77" spans="1:11" x14ac:dyDescent="0.25">
      <c r="A77" s="11" t="s">
        <v>21</v>
      </c>
      <c r="B77" s="6" t="s">
        <v>41</v>
      </c>
      <c r="C77" s="2">
        <v>44562.791666666664</v>
      </c>
      <c r="F77">
        <v>5280</v>
      </c>
      <c r="I77" s="6" t="s">
        <v>38</v>
      </c>
    </row>
    <row r="78" spans="1:11" x14ac:dyDescent="0.25">
      <c r="A78" s="11" t="s">
        <v>1</v>
      </c>
      <c r="B78" s="6" t="s">
        <v>37</v>
      </c>
      <c r="C78" s="2">
        <v>44574.520833333336</v>
      </c>
      <c r="D78" s="7" t="s">
        <v>12</v>
      </c>
      <c r="E78" s="9">
        <v>2</v>
      </c>
      <c r="F78">
        <v>80</v>
      </c>
      <c r="H78">
        <v>60120</v>
      </c>
      <c r="I78" s="6" t="s">
        <v>9</v>
      </c>
      <c r="J78" s="4">
        <v>3.05</v>
      </c>
      <c r="K78" s="6" t="s">
        <v>9</v>
      </c>
    </row>
    <row r="79" spans="1:11" x14ac:dyDescent="0.25">
      <c r="A79" s="11" t="s">
        <v>8</v>
      </c>
      <c r="B79" s="6" t="s">
        <v>37</v>
      </c>
      <c r="C79" s="2">
        <v>44574.791655092595</v>
      </c>
      <c r="D79" s="7" t="s">
        <v>12</v>
      </c>
      <c r="E79" s="9">
        <v>2</v>
      </c>
      <c r="F79">
        <v>150</v>
      </c>
      <c r="I79" s="6" t="s">
        <v>9</v>
      </c>
    </row>
    <row r="80" spans="1:11" x14ac:dyDescent="0.25">
      <c r="A80" s="11" t="s">
        <v>22</v>
      </c>
      <c r="B80" s="6" t="s">
        <v>37</v>
      </c>
      <c r="C80" s="2">
        <v>44574.791666666664</v>
      </c>
      <c r="F80">
        <f>F75-J78+F79</f>
        <v>17471.290000000005</v>
      </c>
      <c r="I80" s="6" t="s">
        <v>9</v>
      </c>
    </row>
    <row r="81" spans="1:11" x14ac:dyDescent="0.25">
      <c r="A81" s="11" t="s">
        <v>21</v>
      </c>
      <c r="B81" s="6" t="s">
        <v>37</v>
      </c>
      <c r="C81" s="2">
        <v>44574.791666666664</v>
      </c>
      <c r="F81">
        <f>F76-J78+F79+E40*(240-356)</f>
        <v>19871.289999999994</v>
      </c>
      <c r="I81" s="6" t="s">
        <v>9</v>
      </c>
    </row>
    <row r="82" spans="1:11" x14ac:dyDescent="0.25">
      <c r="A82" s="11" t="s">
        <v>8</v>
      </c>
      <c r="B82" s="6" t="s">
        <v>37</v>
      </c>
      <c r="C82" s="2">
        <v>44575.791655092595</v>
      </c>
      <c r="D82" s="7" t="s">
        <v>12</v>
      </c>
      <c r="E82" s="9">
        <v>2</v>
      </c>
      <c r="F82">
        <v>-40</v>
      </c>
      <c r="I82" s="6" t="s">
        <v>9</v>
      </c>
    </row>
    <row r="83" spans="1:11" x14ac:dyDescent="0.25">
      <c r="A83" s="11" t="s">
        <v>2</v>
      </c>
      <c r="B83" s="6" t="s">
        <v>37</v>
      </c>
      <c r="C83" s="2">
        <v>44575.520833333336</v>
      </c>
      <c r="D83" s="7" t="s">
        <v>12</v>
      </c>
      <c r="E83" s="9">
        <v>2</v>
      </c>
      <c r="F83">
        <v>81</v>
      </c>
      <c r="H83">
        <v>60175</v>
      </c>
      <c r="I83" s="6" t="s">
        <v>9</v>
      </c>
      <c r="J83" s="4">
        <v>3.05</v>
      </c>
      <c r="K83" s="6" t="s">
        <v>9</v>
      </c>
    </row>
    <row r="84" spans="1:11" x14ac:dyDescent="0.25">
      <c r="A84" s="11" t="s">
        <v>22</v>
      </c>
      <c r="B84" s="6" t="s">
        <v>37</v>
      </c>
      <c r="C84" s="2">
        <v>44575.791666666664</v>
      </c>
      <c r="F84">
        <f>F80+F82-J83</f>
        <v>17428.240000000005</v>
      </c>
      <c r="I84" s="6" t="s">
        <v>9</v>
      </c>
    </row>
    <row r="85" spans="1:11" x14ac:dyDescent="0.25">
      <c r="A85" s="11" t="s">
        <v>21</v>
      </c>
      <c r="B85" s="6" t="s">
        <v>37</v>
      </c>
      <c r="C85" s="2">
        <v>44575.791666666664</v>
      </c>
      <c r="F85">
        <f>F81+F82-J83</f>
        <v>19828.239999999994</v>
      </c>
      <c r="I85" s="6" t="s">
        <v>9</v>
      </c>
    </row>
    <row r="86" spans="1:11" x14ac:dyDescent="0.25">
      <c r="A86" s="11" t="s">
        <v>0</v>
      </c>
      <c r="B86" s="6" t="s">
        <v>39</v>
      </c>
      <c r="C86" s="2">
        <v>44576.583333333336</v>
      </c>
      <c r="F86">
        <v>77200</v>
      </c>
      <c r="I86" s="6" t="s">
        <v>9</v>
      </c>
    </row>
    <row r="87" spans="1:11" x14ac:dyDescent="0.25">
      <c r="A87" s="11" t="s">
        <v>1</v>
      </c>
      <c r="B87" s="6" t="s">
        <v>39</v>
      </c>
      <c r="C87" s="2">
        <v>44576.583333333336</v>
      </c>
      <c r="D87" s="7" t="s">
        <v>40</v>
      </c>
      <c r="E87" s="9">
        <v>2</v>
      </c>
      <c r="F87">
        <v>38600</v>
      </c>
      <c r="I87" s="6" t="s">
        <v>9</v>
      </c>
    </row>
    <row r="88" spans="1:11" x14ac:dyDescent="0.25">
      <c r="A88" s="11" t="s">
        <v>22</v>
      </c>
      <c r="B88" s="6" t="s">
        <v>39</v>
      </c>
      <c r="C88" s="2">
        <v>44576.583333333336</v>
      </c>
      <c r="F88">
        <v>0</v>
      </c>
      <c r="I88" s="6" t="s">
        <v>9</v>
      </c>
    </row>
    <row r="89" spans="1:11" x14ac:dyDescent="0.25">
      <c r="A89" s="11" t="s">
        <v>21</v>
      </c>
      <c r="B89" s="6" t="s">
        <v>39</v>
      </c>
      <c r="C89" s="2">
        <v>44576.583333333336</v>
      </c>
      <c r="F89">
        <v>77200</v>
      </c>
      <c r="I89" s="6" t="s">
        <v>9</v>
      </c>
    </row>
    <row r="90" spans="1:11" x14ac:dyDescent="0.25">
      <c r="A90" s="11" t="s">
        <v>2</v>
      </c>
      <c r="B90" s="6" t="s">
        <v>39</v>
      </c>
      <c r="C90" s="2">
        <v>44635.5</v>
      </c>
      <c r="D90" s="7" t="s">
        <v>40</v>
      </c>
      <c r="E90" s="9">
        <v>1</v>
      </c>
      <c r="F90">
        <v>50000</v>
      </c>
      <c r="I90" s="6" t="s">
        <v>9</v>
      </c>
    </row>
    <row r="91" spans="1:11" x14ac:dyDescent="0.25">
      <c r="A91" s="11" t="s">
        <v>10</v>
      </c>
      <c r="B91" s="6" t="s">
        <v>39</v>
      </c>
      <c r="C91" s="2">
        <v>44635.5</v>
      </c>
      <c r="F91">
        <v>50000</v>
      </c>
      <c r="I91" s="6" t="s">
        <v>9</v>
      </c>
    </row>
    <row r="92" spans="1:11" x14ac:dyDescent="0.25">
      <c r="A92" s="11" t="s">
        <v>22</v>
      </c>
      <c r="B92" s="6" t="s">
        <v>39</v>
      </c>
      <c r="C92" s="2">
        <v>44635.5</v>
      </c>
      <c r="F92">
        <v>0</v>
      </c>
      <c r="I92" s="6" t="s">
        <v>9</v>
      </c>
    </row>
    <row r="93" spans="1:11" x14ac:dyDescent="0.25">
      <c r="A93" s="11" t="s">
        <v>21</v>
      </c>
      <c r="B93" s="6" t="s">
        <v>39</v>
      </c>
      <c r="C93" s="2">
        <v>44635.5</v>
      </c>
      <c r="F93">
        <v>50000</v>
      </c>
      <c r="I93" s="6" t="s">
        <v>9</v>
      </c>
    </row>
    <row r="94" spans="1:11" x14ac:dyDescent="0.25">
      <c r="A94" s="11" t="s">
        <v>1</v>
      </c>
      <c r="B94" s="6" t="s">
        <v>37</v>
      </c>
      <c r="C94" s="2">
        <v>44652.416666666664</v>
      </c>
      <c r="D94" s="7" t="s">
        <v>42</v>
      </c>
      <c r="E94" s="9">
        <v>2</v>
      </c>
      <c r="F94">
        <v>5660</v>
      </c>
      <c r="I94" s="6" t="s">
        <v>9</v>
      </c>
      <c r="J94" s="4">
        <v>2.11</v>
      </c>
      <c r="K94" s="6" t="s">
        <v>9</v>
      </c>
    </row>
    <row r="95" spans="1:11" x14ac:dyDescent="0.25">
      <c r="A95" s="11" t="s">
        <v>22</v>
      </c>
      <c r="B95" s="6" t="s">
        <v>37</v>
      </c>
      <c r="C95" s="2">
        <v>44652.791666666664</v>
      </c>
      <c r="F95">
        <f>F84-E94*F94-J94</f>
        <v>6106.1300000000056</v>
      </c>
      <c r="I95" s="6" t="s">
        <v>9</v>
      </c>
    </row>
    <row r="96" spans="1:11" x14ac:dyDescent="0.25">
      <c r="A96" s="11" t="s">
        <v>21</v>
      </c>
      <c r="B96" s="6" t="s">
        <v>37</v>
      </c>
      <c r="C96" s="2">
        <v>44652.791666666664</v>
      </c>
      <c r="F96">
        <f>F85-J94</f>
        <v>19826.129999999994</v>
      </c>
      <c r="I96" s="6" t="s">
        <v>9</v>
      </c>
    </row>
    <row r="97" spans="1:11" x14ac:dyDescent="0.25">
      <c r="A97" s="11" t="s">
        <v>21</v>
      </c>
      <c r="B97" s="6" t="s">
        <v>41</v>
      </c>
      <c r="C97" s="2">
        <v>44713.791666666664</v>
      </c>
      <c r="F97">
        <v>3510</v>
      </c>
      <c r="I97" s="6" t="s">
        <v>38</v>
      </c>
    </row>
    <row r="98" spans="1:11" x14ac:dyDescent="0.25">
      <c r="A98" s="11" t="s">
        <v>7</v>
      </c>
      <c r="B98" s="6" t="s">
        <v>41</v>
      </c>
      <c r="C98" s="2">
        <v>44798.416666666664</v>
      </c>
      <c r="D98" s="7" t="s">
        <v>46</v>
      </c>
      <c r="E98" s="9">
        <v>5</v>
      </c>
    </row>
    <row r="99" spans="1:11" x14ac:dyDescent="0.25">
      <c r="A99" s="11" t="s">
        <v>6</v>
      </c>
      <c r="B99" s="6" t="s">
        <v>41</v>
      </c>
      <c r="C99" s="2">
        <v>44798.416666666664</v>
      </c>
      <c r="D99" s="7" t="s">
        <v>46</v>
      </c>
      <c r="E99" s="9">
        <v>15</v>
      </c>
    </row>
    <row r="100" spans="1:11" x14ac:dyDescent="0.25">
      <c r="A100" s="11" t="s">
        <v>3</v>
      </c>
      <c r="B100" s="6" t="s">
        <v>37</v>
      </c>
      <c r="C100" s="2">
        <v>44917.416666666664</v>
      </c>
      <c r="D100" s="7" t="s">
        <v>42</v>
      </c>
      <c r="E100" s="9">
        <v>2</v>
      </c>
      <c r="F100">
        <v>793</v>
      </c>
      <c r="I100" s="6" t="s">
        <v>9</v>
      </c>
      <c r="J100" s="4">
        <v>206</v>
      </c>
      <c r="K100" s="6" t="s">
        <v>9</v>
      </c>
    </row>
    <row r="101" spans="1:11" x14ac:dyDescent="0.25">
      <c r="A101" s="11" t="s">
        <v>22</v>
      </c>
      <c r="B101" s="6" t="s">
        <v>37</v>
      </c>
      <c r="C101" s="2">
        <v>44917.791666666664</v>
      </c>
      <c r="F101">
        <f>F95+E100*F100-J100</f>
        <v>7486.1300000000056</v>
      </c>
      <c r="I101" s="6" t="s">
        <v>9</v>
      </c>
      <c r="K101" s="6" t="s">
        <v>9</v>
      </c>
    </row>
    <row r="102" spans="1:11" x14ac:dyDescent="0.25">
      <c r="A102" s="11" t="s">
        <v>21</v>
      </c>
      <c r="B102" s="6" t="s">
        <v>37</v>
      </c>
      <c r="C102" s="2">
        <v>44917.791666666664</v>
      </c>
      <c r="F102">
        <f>F96+E100*F100-J100+E94*(5000-F94)</f>
        <v>19886.129999999994</v>
      </c>
      <c r="I102" s="6" t="s">
        <v>9</v>
      </c>
      <c r="K102" s="6" t="s">
        <v>9</v>
      </c>
    </row>
    <row r="103" spans="1:11" x14ac:dyDescent="0.25">
      <c r="A103" s="11" t="s">
        <v>21</v>
      </c>
      <c r="B103" s="6" t="s">
        <v>41</v>
      </c>
      <c r="C103" s="2">
        <v>44927.791666666664</v>
      </c>
      <c r="F103">
        <v>1695</v>
      </c>
      <c r="I103" s="6" t="s">
        <v>38</v>
      </c>
    </row>
    <row r="104" spans="1:11" x14ac:dyDescent="0.25">
      <c r="A104" s="11" t="s">
        <v>2</v>
      </c>
      <c r="B104" s="6" t="s">
        <v>37</v>
      </c>
      <c r="C104" s="2">
        <v>44958.5</v>
      </c>
      <c r="D104" s="7" t="s">
        <v>42</v>
      </c>
      <c r="E104" s="9">
        <v>1</v>
      </c>
      <c r="F104">
        <v>3915</v>
      </c>
      <c r="I104" s="6" t="s">
        <v>9</v>
      </c>
      <c r="J104" s="4">
        <v>1.87</v>
      </c>
      <c r="K104" s="6" t="s">
        <v>9</v>
      </c>
    </row>
    <row r="105" spans="1:11" x14ac:dyDescent="0.25">
      <c r="A105" s="11" t="s">
        <v>22</v>
      </c>
      <c r="B105" s="6" t="s">
        <v>37</v>
      </c>
      <c r="C105" s="2">
        <v>44958.791666666664</v>
      </c>
      <c r="F105">
        <f>F101+E104*F104-J104</f>
        <v>11399.260000000004</v>
      </c>
      <c r="I105" s="6" t="s">
        <v>9</v>
      </c>
    </row>
    <row r="106" spans="1:11" x14ac:dyDescent="0.25">
      <c r="A106" s="11" t="s">
        <v>21</v>
      </c>
      <c r="B106" s="6" t="s">
        <v>37</v>
      </c>
      <c r="C106" s="2">
        <v>44958.791666666664</v>
      </c>
      <c r="F106">
        <f>F102+E104*(F104-F94)-J104+(F104-5000)</f>
        <v>17054.259999999995</v>
      </c>
      <c r="I106" s="6" t="s">
        <v>9</v>
      </c>
    </row>
    <row r="107" spans="1:11" x14ac:dyDescent="0.25">
      <c r="A107" s="11" t="s">
        <v>1</v>
      </c>
      <c r="B107" s="6" t="s">
        <v>37</v>
      </c>
      <c r="C107" s="2">
        <v>45017.5</v>
      </c>
      <c r="D107" s="7" t="s">
        <v>43</v>
      </c>
      <c r="E107" s="9">
        <v>2</v>
      </c>
      <c r="F107">
        <v>400</v>
      </c>
      <c r="I107" s="6" t="s">
        <v>9</v>
      </c>
      <c r="J107" s="4">
        <v>1.5</v>
      </c>
      <c r="K107" s="6" t="s">
        <v>9</v>
      </c>
    </row>
    <row r="108" spans="1:11" x14ac:dyDescent="0.25">
      <c r="A108" s="11" t="s">
        <v>22</v>
      </c>
      <c r="B108" s="6" t="s">
        <v>37</v>
      </c>
      <c r="C108" s="2">
        <v>45017.791666666664</v>
      </c>
      <c r="F108">
        <f>F105-E107*F107-J107</f>
        <v>10597.760000000004</v>
      </c>
      <c r="I108" s="6" t="s">
        <v>9</v>
      </c>
    </row>
    <row r="109" spans="1:11" x14ac:dyDescent="0.25">
      <c r="A109" s="11" t="s">
        <v>21</v>
      </c>
      <c r="B109" s="6" t="s">
        <v>37</v>
      </c>
      <c r="C109" s="2">
        <v>45017.791666666664</v>
      </c>
      <c r="F109">
        <f>F106-J107</f>
        <v>17052.759999999995</v>
      </c>
      <c r="I109" s="6" t="s">
        <v>9</v>
      </c>
    </row>
    <row r="110" spans="1:11" x14ac:dyDescent="0.25">
      <c r="A110" s="11" t="s">
        <v>3</v>
      </c>
      <c r="B110" s="6" t="s">
        <v>37</v>
      </c>
      <c r="C110" s="2">
        <v>45061.416666666664</v>
      </c>
      <c r="D110" s="7" t="s">
        <v>11</v>
      </c>
      <c r="E110" s="9">
        <v>10</v>
      </c>
      <c r="F110">
        <v>25</v>
      </c>
      <c r="I110" s="6" t="s">
        <v>9</v>
      </c>
      <c r="J110" s="4">
        <v>33</v>
      </c>
      <c r="K110" s="6" t="s">
        <v>9</v>
      </c>
    </row>
    <row r="111" spans="1:11" x14ac:dyDescent="0.25">
      <c r="A111" s="11" t="s">
        <v>22</v>
      </c>
      <c r="B111" s="6" t="s">
        <v>37</v>
      </c>
      <c r="C111" s="2">
        <v>45061.791666666664</v>
      </c>
      <c r="F111">
        <f>F108+E110*F110-J110</f>
        <v>10814.760000000004</v>
      </c>
      <c r="I111" s="6" t="s">
        <v>9</v>
      </c>
    </row>
    <row r="112" spans="1:11" x14ac:dyDescent="0.25">
      <c r="A112" s="11" t="s">
        <v>21</v>
      </c>
      <c r="B112" s="6" t="s">
        <v>37</v>
      </c>
      <c r="C112" s="2">
        <v>45061.791666666664</v>
      </c>
      <c r="F112">
        <f>F109+E110*F110-J110</f>
        <v>17269.759999999995</v>
      </c>
      <c r="I112" s="6" t="s">
        <v>9</v>
      </c>
    </row>
    <row r="113" spans="1:11" x14ac:dyDescent="0.25">
      <c r="A113" s="11" t="s">
        <v>21</v>
      </c>
      <c r="B113" s="6" t="s">
        <v>41</v>
      </c>
      <c r="C113" s="2">
        <v>45078.791666666664</v>
      </c>
      <c r="F113">
        <v>3660</v>
      </c>
      <c r="I113" s="6" t="s">
        <v>38</v>
      </c>
    </row>
    <row r="114" spans="1:11" x14ac:dyDescent="0.25">
      <c r="A114" s="11" t="s">
        <v>3</v>
      </c>
      <c r="B114" s="6" t="s">
        <v>37</v>
      </c>
      <c r="C114" s="2">
        <v>45081.416666666664</v>
      </c>
      <c r="D114" s="7" t="s">
        <v>42</v>
      </c>
      <c r="E114" s="9">
        <v>1</v>
      </c>
      <c r="F114">
        <v>438</v>
      </c>
      <c r="I114" s="6" t="s">
        <v>9</v>
      </c>
      <c r="J114" s="4">
        <v>57</v>
      </c>
      <c r="K114" s="6" t="s">
        <v>9</v>
      </c>
    </row>
    <row r="115" spans="1:11" x14ac:dyDescent="0.25">
      <c r="A115" s="11" t="s">
        <v>22</v>
      </c>
      <c r="B115" s="6" t="s">
        <v>37</v>
      </c>
      <c r="C115" s="2">
        <v>45081.791666666664</v>
      </c>
      <c r="F115">
        <f>F111+E114*F114-J114</f>
        <v>11195.760000000004</v>
      </c>
      <c r="I115" s="6" t="s">
        <v>9</v>
      </c>
    </row>
    <row r="116" spans="1:11" x14ac:dyDescent="0.25">
      <c r="A116" s="11" t="s">
        <v>21</v>
      </c>
      <c r="B116" s="6" t="s">
        <v>37</v>
      </c>
      <c r="C116" s="2">
        <v>45081.791666666664</v>
      </c>
      <c r="F116">
        <f>F112+E114*F114-J114</f>
        <v>17650.759999999995</v>
      </c>
      <c r="I116" s="6" t="s">
        <v>9</v>
      </c>
    </row>
    <row r="117" spans="1:11" x14ac:dyDescent="0.25">
      <c r="A117" s="11" t="s">
        <v>3</v>
      </c>
      <c r="B117" s="6" t="s">
        <v>37</v>
      </c>
      <c r="C117" s="2">
        <v>45121.416666666664</v>
      </c>
      <c r="D117" s="7" t="s">
        <v>43</v>
      </c>
      <c r="E117" s="9">
        <v>2</v>
      </c>
      <c r="F117">
        <v>25.17</v>
      </c>
      <c r="I117" s="6" t="s">
        <v>9</v>
      </c>
      <c r="J117" s="4">
        <v>7</v>
      </c>
      <c r="K117" s="6" t="s">
        <v>9</v>
      </c>
    </row>
    <row r="118" spans="1:11" x14ac:dyDescent="0.25">
      <c r="A118" s="11" t="s">
        <v>22</v>
      </c>
      <c r="B118" s="6" t="s">
        <v>37</v>
      </c>
      <c r="C118" s="2">
        <v>45121.791666666664</v>
      </c>
      <c r="F118">
        <f>F115+E117*F117-J117</f>
        <v>11239.100000000004</v>
      </c>
      <c r="I118" s="6" t="s">
        <v>9</v>
      </c>
    </row>
    <row r="119" spans="1:11" x14ac:dyDescent="0.25">
      <c r="A119" s="11" t="s">
        <v>21</v>
      </c>
      <c r="B119" s="6" t="s">
        <v>37</v>
      </c>
      <c r="C119" s="2">
        <v>45121.791666666664</v>
      </c>
      <c r="F119">
        <f>F116+E117*F117-J117</f>
        <v>17694.099999999995</v>
      </c>
      <c r="I119" s="6" t="s">
        <v>9</v>
      </c>
    </row>
    <row r="120" spans="1:11" x14ac:dyDescent="0.25">
      <c r="A120" s="11" t="s">
        <v>0</v>
      </c>
      <c r="B120" s="6" t="s">
        <v>37</v>
      </c>
      <c r="C120" s="2">
        <v>45199.75</v>
      </c>
      <c r="F120">
        <v>1000</v>
      </c>
      <c r="I120" s="6" t="s">
        <v>38</v>
      </c>
    </row>
    <row r="121" spans="1:11" x14ac:dyDescent="0.25">
      <c r="A121" s="11" t="s">
        <v>22</v>
      </c>
      <c r="B121" s="6" t="s">
        <v>37</v>
      </c>
      <c r="C121" s="2">
        <v>45199.791666666664</v>
      </c>
      <c r="F121">
        <v>1000</v>
      </c>
      <c r="I121" s="6" t="s">
        <v>38</v>
      </c>
    </row>
    <row r="122" spans="1:11" x14ac:dyDescent="0.25">
      <c r="A122" s="11" t="s">
        <v>22</v>
      </c>
      <c r="B122" s="6" t="s">
        <v>37</v>
      </c>
      <c r="C122" s="2">
        <v>45199.791666666664</v>
      </c>
      <c r="F122">
        <f>F118</f>
        <v>11239.100000000004</v>
      </c>
      <c r="I122" s="6" t="s">
        <v>9</v>
      </c>
    </row>
    <row r="123" spans="1:11" x14ac:dyDescent="0.25">
      <c r="A123" s="11" t="s">
        <v>21</v>
      </c>
      <c r="B123" s="6" t="s">
        <v>37</v>
      </c>
      <c r="C123" s="2">
        <v>45199.791666666664</v>
      </c>
      <c r="F123">
        <f>F119+F120*97.41</f>
        <v>115104.09999999999</v>
      </c>
      <c r="I123" s="6" t="s">
        <v>9</v>
      </c>
    </row>
    <row r="124" spans="1:11" x14ac:dyDescent="0.25">
      <c r="A124" s="11" t="s">
        <v>2</v>
      </c>
      <c r="B124" s="6" t="s">
        <v>37</v>
      </c>
      <c r="C124" s="2">
        <v>45200.625</v>
      </c>
      <c r="D124" s="7" t="s">
        <v>45</v>
      </c>
      <c r="E124" s="9">
        <v>1000</v>
      </c>
      <c r="F124">
        <v>97.15</v>
      </c>
      <c r="I124" s="6" t="s">
        <v>9</v>
      </c>
      <c r="J124" s="4">
        <v>57</v>
      </c>
      <c r="K124" s="6" t="s">
        <v>9</v>
      </c>
    </row>
    <row r="125" spans="1:11" x14ac:dyDescent="0.25">
      <c r="A125" s="11" t="s">
        <v>1</v>
      </c>
      <c r="B125" s="6" t="s">
        <v>37</v>
      </c>
      <c r="C125" s="2">
        <v>45200.5</v>
      </c>
      <c r="D125" s="7" t="s">
        <v>44</v>
      </c>
      <c r="E125" s="9">
        <v>1</v>
      </c>
      <c r="F125">
        <v>6800</v>
      </c>
      <c r="I125" s="6" t="s">
        <v>9</v>
      </c>
      <c r="J125" s="4">
        <v>2.57</v>
      </c>
      <c r="K125" s="6" t="s">
        <v>9</v>
      </c>
    </row>
    <row r="126" spans="1:11" x14ac:dyDescent="0.25">
      <c r="A126" s="11" t="s">
        <v>10</v>
      </c>
      <c r="B126" s="6" t="s">
        <v>37</v>
      </c>
      <c r="C126" s="2">
        <v>45200.75</v>
      </c>
      <c r="F126">
        <v>100000</v>
      </c>
      <c r="I126" s="6" t="s">
        <v>9</v>
      </c>
    </row>
    <row r="127" spans="1:11" x14ac:dyDescent="0.25">
      <c r="A127" s="11" t="s">
        <v>22</v>
      </c>
      <c r="B127" s="6" t="s">
        <v>37</v>
      </c>
      <c r="C127" s="2">
        <v>45200.791666666664</v>
      </c>
      <c r="F127">
        <f>F122+(E124*F124-J124)-E125*F125-J125-F126</f>
        <v>1529.5299999999988</v>
      </c>
      <c r="I127" s="6" t="s">
        <v>9</v>
      </c>
    </row>
    <row r="128" spans="1:11" x14ac:dyDescent="0.25">
      <c r="A128" s="11" t="s">
        <v>22</v>
      </c>
      <c r="B128" s="6" t="s">
        <v>37</v>
      </c>
      <c r="C128" s="2">
        <v>45200.791666666664</v>
      </c>
      <c r="F128">
        <v>0</v>
      </c>
      <c r="I128" s="6" t="s">
        <v>38</v>
      </c>
    </row>
    <row r="129" spans="1:11" x14ac:dyDescent="0.25">
      <c r="A129" s="11" t="s">
        <v>21</v>
      </c>
      <c r="B129" s="6" t="s">
        <v>37</v>
      </c>
      <c r="C129" s="2">
        <v>45200.791666666664</v>
      </c>
      <c r="F129">
        <f>F119+((E124*F124-J124)-E125-F126)-J125+(6700-5000)+E65*(260-240)+E107*(630-F107)</f>
        <v>17143.529999999995</v>
      </c>
      <c r="I129" s="6" t="s">
        <v>9</v>
      </c>
    </row>
    <row r="130" spans="1:11" x14ac:dyDescent="0.25">
      <c r="A130" s="11" t="s">
        <v>0</v>
      </c>
      <c r="B130" s="6" t="s">
        <v>41</v>
      </c>
      <c r="C130" s="2">
        <v>45231.5</v>
      </c>
      <c r="F130">
        <v>3000</v>
      </c>
      <c r="I130" s="6" t="s">
        <v>38</v>
      </c>
    </row>
    <row r="131" spans="1:11" x14ac:dyDescent="0.25">
      <c r="A131" s="11" t="s">
        <v>1</v>
      </c>
      <c r="B131" s="6" t="s">
        <v>41</v>
      </c>
      <c r="C131" s="2">
        <v>45231.75</v>
      </c>
      <c r="D131" s="13" t="s">
        <v>48</v>
      </c>
      <c r="E131" s="9">
        <v>10</v>
      </c>
      <c r="F131">
        <v>112</v>
      </c>
      <c r="I131" s="6" t="s">
        <v>38</v>
      </c>
      <c r="J131" s="4">
        <v>0.6</v>
      </c>
      <c r="K131" s="6" t="s">
        <v>38</v>
      </c>
    </row>
    <row r="132" spans="1:11" x14ac:dyDescent="0.25">
      <c r="A132" s="11" t="s">
        <v>1</v>
      </c>
      <c r="B132" s="6" t="s">
        <v>41</v>
      </c>
      <c r="C132" s="2">
        <v>45231.75</v>
      </c>
      <c r="D132" s="7" t="s">
        <v>47</v>
      </c>
      <c r="E132" s="9">
        <v>10</v>
      </c>
      <c r="F132">
        <v>140</v>
      </c>
      <c r="I132" s="6" t="s">
        <v>38</v>
      </c>
      <c r="J132" s="4">
        <v>0.9</v>
      </c>
      <c r="K132" s="6" t="s">
        <v>38</v>
      </c>
    </row>
    <row r="133" spans="1:11" x14ac:dyDescent="0.25">
      <c r="A133" s="11" t="s">
        <v>1</v>
      </c>
      <c r="B133" s="6" t="s">
        <v>41</v>
      </c>
      <c r="C133" s="2">
        <v>45231.75</v>
      </c>
      <c r="D133" s="13" t="s">
        <v>49</v>
      </c>
      <c r="E133" s="9">
        <v>10</v>
      </c>
      <c r="F133">
        <v>47.8</v>
      </c>
      <c r="I133" s="6" t="s">
        <v>38</v>
      </c>
      <c r="J133" s="4">
        <v>0.5</v>
      </c>
      <c r="K133" s="6" t="s">
        <v>38</v>
      </c>
    </row>
    <row r="134" spans="1:11" x14ac:dyDescent="0.25">
      <c r="A134" s="11" t="s">
        <v>22</v>
      </c>
      <c r="B134" s="6" t="s">
        <v>41</v>
      </c>
      <c r="C134" s="2">
        <v>45231.791666666664</v>
      </c>
      <c r="F134">
        <v>0</v>
      </c>
      <c r="I134" s="6" t="s">
        <v>38</v>
      </c>
    </row>
    <row r="135" spans="1:11" x14ac:dyDescent="0.25">
      <c r="A135" s="11" t="s">
        <v>21</v>
      </c>
      <c r="B135" s="6" t="s">
        <v>41</v>
      </c>
      <c r="C135" s="2">
        <v>45231.791666666664</v>
      </c>
      <c r="F135">
        <f>F130+3345</f>
        <v>6345</v>
      </c>
      <c r="I135" s="6" t="s">
        <v>38</v>
      </c>
    </row>
  </sheetData>
  <sortState ref="A2:K26">
    <sortCondition ref="C2"/>
  </sortState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'Список допустимых событий'!$A$1:$A$18</xm:f>
          </x14:formula1>
          <xm:sqref>A2:A125 A127:A10429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G39" sqref="G39"/>
    </sheetView>
  </sheetViews>
  <sheetFormatPr defaultRowHeight="15" x14ac:dyDescent="0.25"/>
  <cols>
    <col min="1" max="1" width="32.7109375" customWidth="1"/>
  </cols>
  <sheetData>
    <row r="1" spans="1:1" x14ac:dyDescent="0.25">
      <c r="A1" t="s">
        <v>0</v>
      </c>
    </row>
    <row r="2" spans="1:1" x14ac:dyDescent="0.25">
      <c r="A2" t="s">
        <v>10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16</v>
      </c>
    </row>
    <row r="8" spans="1:1" x14ac:dyDescent="0.25">
      <c r="A8" t="s">
        <v>19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5</v>
      </c>
    </row>
    <row r="12" spans="1:1" x14ac:dyDescent="0.25">
      <c r="A12" t="s">
        <v>18</v>
      </c>
    </row>
    <row r="13" spans="1:1" x14ac:dyDescent="0.25">
      <c r="A13" t="s">
        <v>25</v>
      </c>
    </row>
    <row r="14" spans="1:1" x14ac:dyDescent="0.25">
      <c r="A14" t="s">
        <v>24</v>
      </c>
    </row>
    <row r="15" spans="1:1" x14ac:dyDescent="0.25">
      <c r="A15" t="s">
        <v>23</v>
      </c>
    </row>
    <row r="16" spans="1:1" x14ac:dyDescent="0.25">
      <c r="A16" t="s">
        <v>8</v>
      </c>
    </row>
    <row r="17" spans="1:1" x14ac:dyDescent="0.25">
      <c r="A17" t="s">
        <v>22</v>
      </c>
    </row>
    <row r="18" spans="1:1" x14ac:dyDescent="0.25">
      <c r="A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demo</vt:lpstr>
      <vt:lpstr>Список допустимых событий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Витек</dc:creator>
  <cp:lastModifiedBy>Vitek</cp:lastModifiedBy>
  <dcterms:created xsi:type="dcterms:W3CDTF">2022-01-19T20:36:36Z</dcterms:created>
  <dcterms:modified xsi:type="dcterms:W3CDTF">2026-04-22T20:38:35Z</dcterms:modified>
</cp:coreProperties>
</file>